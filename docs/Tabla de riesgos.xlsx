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<sst xmlns="http://schemas.openxmlformats.org/spreadsheetml/2006/main" count="115" uniqueCount="78">
  <si>
    <t>Riesgo</t>
  </si>
  <si>
    <t>Descripción</t>
  </si>
  <si>
    <t>Probabilidad de ocurrencia</t>
  </si>
  <si>
    <t>Severidad/Impacto del riesgo</t>
  </si>
  <si>
    <t>Exposicion original</t>
  </si>
  <si>
    <t>Plan Mitigacion</t>
  </si>
  <si>
    <t>Estado Mitigacion</t>
  </si>
  <si>
    <t>Exposicion reducida</t>
  </si>
  <si>
    <t>Indice Mitigación</t>
  </si>
  <si>
    <t>Plan Contingencia</t>
  </si>
  <si>
    <t>Estado de Riesgo</t>
  </si>
  <si>
    <t>Responsable</t>
  </si>
  <si>
    <t>Ultimo registro</t>
  </si>
  <si>
    <t>ID del riesgo</t>
  </si>
  <si>
    <t>Lo que dice.</t>
  </si>
  <si>
    <t>Numero de 1 al x (debatir x)</t>
  </si>
  <si>
    <t>Numero del 1 al x (debatir x)</t>
  </si>
  <si>
    <t>Probabilidad * Severidad. Calcular manualmente</t>
  </si>
  <si>
    <t>Plan para reducir el impacto del riesgo de antemano</t>
  </si>
  <si>
    <t>Pendiente/En curso/Ejecutado</t>
  </si>
  <si>
    <t>probabilidad * Severidad. Calculo automatico</t>
  </si>
  <si>
    <t>(Impacto potencial reducido / Impacto potencial original) * 100. Calculo auotomatico</t>
  </si>
  <si>
    <t>Plan para amortiguar el impacto luego de que el riesgo ocurrió.</t>
  </si>
  <si>
    <t>Activo/Inactivo</t>
  </si>
  <si>
    <t>Miembro del grupo que se encarga, si el riesgo ocurre.</t>
  </si>
  <si>
    <t>Ultima fecha de modificación dde datos de este riesgo</t>
  </si>
  <si>
    <t>Compañero Exequiel abandona el grupo</t>
  </si>
  <si>
    <t>Definir canales de comunicacion claros para estar siempre conectados.</t>
  </si>
  <si>
    <t>En curso</t>
  </si>
  <si>
    <t xml:space="preserve">Dividir las tareas asignadas
 a Exequiel entre Juan y Franco </t>
  </si>
  <si>
    <t>Activo</t>
  </si>
  <si>
    <t>Juan y Franco</t>
  </si>
  <si>
    <t>Compañero Franco abandona el grupo</t>
  </si>
  <si>
    <t>Definir canales de comunicacion claros para estar siempre
conectados.</t>
  </si>
  <si>
    <t>Dividir las tareas asignadas
 a Francoentre Juan y Exequiel</t>
  </si>
  <si>
    <t>Juan y Exequiel</t>
  </si>
  <si>
    <t>Compañero Juan abandona el grupo</t>
  </si>
  <si>
    <t>Dividir las tareas asignadas
 a Juan entre Exequiel y Franco</t>
  </si>
  <si>
    <t>Exequiel y Franco</t>
  </si>
  <si>
    <t>Retraso en el desarrollo del prototipo</t>
  </si>
  <si>
    <t>Definir las tareas entre los integrantes de forma clara y equilibrada
 y realizar un seguimiento del avance diariamente</t>
  </si>
  <si>
    <t>Definir nuevas prioridades. Priorizar 
lo mas urgente</t>
  </si>
  <si>
    <t>Todo el equipo</t>
  </si>
  <si>
    <t>Falta de coordinación del equipo.</t>
  </si>
  <si>
    <t>Definir canales de comunicacion claros y estar activos diariamente comunicacando avances, retrasos y/o dificultades, definiendo tareas de forma clara</t>
  </si>
  <si>
    <t>Definir reuniones de forma urgente
con todo el equipo para reorganizar 
 la metodologia de trabajo hasta el 
momento.</t>
  </si>
  <si>
    <t>Cambios en los requerimientos</t>
  </si>
  <si>
    <t>Mantener una comunicacion diaria y activa con el PO. Mantener actualizado el backlog y las US</t>
  </si>
  <si>
    <t>Replantearse los nuevos requerimientos entre todo el equipo para atender lo mas urgente. Reorganizar y reedefinir el backlog.</t>
  </si>
  <si>
    <t>Caída de hosting.</t>
  </si>
  <si>
    <t>Usar servicios de hosting confiables y monitoriear el sistema diariamente</t>
  </si>
  <si>
    <t>Restaurar el servicio lo antes posible, 
informar a los usuarios y recuperar 
el sistema operable.</t>
  </si>
  <si>
    <t>Falta de entrenamiento</t>
  </si>
  <si>
    <t>Capasitar a los integrantes mediante el feedback con el PO,
la asistencia a clases, investigacion en internet, uso de IA y 
practica con herramientas y tecnologia usadas.</t>
  </si>
  <si>
    <t>Reorganizar las tareas segun las habilidades de cada integrante y dedicar mas tiempo al aprendizaje</t>
  </si>
  <si>
    <t>Errores de estimación</t>
  </si>
  <si>
    <t>Realizar las estimaciones en equipo, definir tareas pequeñas y  revisar las estimaciones de forma periodica</t>
  </si>
  <si>
    <t>Reorganizar tareas, ajustar estimaciones</t>
  </si>
  <si>
    <t>Quiebra la empresa (La universidad)</t>
  </si>
  <si>
    <t>Mantener una comunicacion diaria con el PO y trabajar en equipo de forma ordenada y con las tareas asigandas.</t>
  </si>
  <si>
    <t>Finalizar el proyecto. Entregar hasta donde se avanzo. No se puede hacer mas nada.</t>
  </si>
  <si>
    <t>Problemas legales</t>
  </si>
  <si>
    <t>Conocer o investigar sobre lineamientos legales y sus consecuencias. Definir US que garanticen el cumplimiento de la ley</t>
  </si>
  <si>
    <t>Readaptar el sistema al marco legal correspondiente</t>
  </si>
  <si>
    <t>Mala interpretación de los requisitos del TP</t>
  </si>
  <si>
    <t>Revisar las consignas detalladamente, consultar con los docentes (PO) y validar los avances de forma periodica.</t>
  </si>
  <si>
    <t>Corregir segun las devoluciones de los docentes y ajustar el contenido del proyecto y de los informes de cada entrga</t>
  </si>
  <si>
    <t>Problemas de comunicación con el PO</t>
  </si>
  <si>
    <t>Mantener comunicacion con el PO y hacer consultas ante cualquier duda</t>
  </si>
  <si>
    <t>Solicitar una reunion con el PO para aclarar pautas de entrega, correcciones y correccion momentanea.</t>
  </si>
  <si>
    <t>Conflicto en la toma de decisiones del equipo</t>
  </si>
  <si>
    <t>Mantener vias de comunicacion definidas, fomentar la comunicacion y considerar la opinion de todos los integrantes</t>
  </si>
  <si>
    <t>Resolver conflictos mediante la consulta al PO y de no ser necesario solicitar una reunion  con el PO</t>
  </si>
  <si>
    <t>Promedio de probabilidad</t>
  </si>
  <si>
    <t>Promedio de Impacto</t>
  </si>
  <si>
    <t>Exposicion total (suma total)</t>
  </si>
  <si>
    <t>Investigar como se calcula valor que ira abajo</t>
  </si>
  <si>
    <t>promedio de indice de mitigacion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</si>
</sst>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shrinkToFit="0" wrapText="1"/>
    </xf>
    <xf borderId="3" fillId="2" fontId="2" numFmtId="164" xfId="0" applyAlignment="1" applyBorder="1" applyFont="1" applyNumberForma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 shrinkToFit="0" wrapText="1"/>
    </xf>
    <xf borderId="7" fillId="2" fontId="2" numFmtId="0" xfId="0" applyAlignment="1" applyBorder="1" applyFont="1">
      <alignment horizontal="center" shrinkToFit="0" wrapText="1"/>
    </xf>
    <xf borderId="8" fillId="2" fontId="2" numFmtId="0" xfId="0" applyAlignment="1" applyBorder="1" applyFon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3" fontId="2" numFmtId="0" xfId="0" applyAlignment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5.38"/>
    <col customWidth="1" min="3" max="3" width="29.0"/>
    <col customWidth="1" min="4" max="4" width="26.25"/>
    <col customWidth="1" min="5" max="5" width="43.25"/>
    <col customWidth="1" min="6" max="6" width="45.88"/>
    <col customWidth="1" min="7" max="7" width="31.75"/>
    <col customWidth="1" min="8" max="8" width="27.13"/>
    <col customWidth="1" min="9" max="9" width="36.63"/>
    <col customWidth="1" min="10" max="10" width="29.13"/>
    <col customWidth="1" min="11" max="11" width="1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4">
        <v>1.0</v>
      </c>
      <c r="B3" s="5" t="s">
        <v>26</v>
      </c>
      <c r="C3" s="6"/>
      <c r="D3" s="6"/>
      <c r="E3" s="6"/>
      <c r="F3" s="5" t="s">
        <v>27</v>
      </c>
      <c r="G3" s="5" t="s">
        <v>28</v>
      </c>
      <c r="H3" s="6">
        <f t="shared" ref="H3:H31" si="1">SUM(C3,D3)</f>
        <v>0</v>
      </c>
      <c r="I3" s="6"/>
      <c r="J3" s="5" t="s">
        <v>29</v>
      </c>
      <c r="K3" s="5" t="s">
        <v>30</v>
      </c>
      <c r="L3" s="5" t="s">
        <v>31</v>
      </c>
      <c r="M3" s="7">
        <v>46101.0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8">
        <v>2.0</v>
      </c>
      <c r="B4" s="2" t="s">
        <v>32</v>
      </c>
      <c r="C4" s="3"/>
      <c r="D4" s="3"/>
      <c r="E4" s="3"/>
      <c r="F4" s="2" t="s">
        <v>33</v>
      </c>
      <c r="G4" s="2" t="s">
        <v>28</v>
      </c>
      <c r="H4" s="3">
        <f t="shared" si="1"/>
        <v>0</v>
      </c>
      <c r="I4" s="3"/>
      <c r="J4" s="2" t="s">
        <v>34</v>
      </c>
      <c r="K4" s="2" t="s">
        <v>30</v>
      </c>
      <c r="L4" s="2" t="s">
        <v>35</v>
      </c>
      <c r="M4" s="7">
        <v>46101.0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8">
        <v>3.0</v>
      </c>
      <c r="B5" s="2" t="s">
        <v>36</v>
      </c>
      <c r="C5" s="3"/>
      <c r="D5" s="3"/>
      <c r="E5" s="3"/>
      <c r="F5" s="2" t="s">
        <v>33</v>
      </c>
      <c r="G5" s="2" t="s">
        <v>28</v>
      </c>
      <c r="H5" s="3">
        <f t="shared" si="1"/>
        <v>0</v>
      </c>
      <c r="I5" s="3"/>
      <c r="J5" s="2" t="s">
        <v>37</v>
      </c>
      <c r="K5" s="2" t="s">
        <v>30</v>
      </c>
      <c r="L5" s="2" t="s">
        <v>38</v>
      </c>
      <c r="M5" s="7">
        <v>46101.0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8">
        <v>4.0</v>
      </c>
      <c r="B6" s="2" t="s">
        <v>39</v>
      </c>
      <c r="C6" s="3"/>
      <c r="D6" s="3"/>
      <c r="E6" s="3"/>
      <c r="F6" s="2" t="s">
        <v>40</v>
      </c>
      <c r="G6" s="2" t="s">
        <v>28</v>
      </c>
      <c r="H6" s="3">
        <f t="shared" si="1"/>
        <v>0</v>
      </c>
      <c r="I6" s="3"/>
      <c r="J6" s="2" t="s">
        <v>41</v>
      </c>
      <c r="K6" s="2" t="s">
        <v>30</v>
      </c>
      <c r="L6" s="2" t="s">
        <v>42</v>
      </c>
      <c r="M6" s="7">
        <v>46101.0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8">
        <v>5.0</v>
      </c>
      <c r="B7" s="2" t="s">
        <v>43</v>
      </c>
      <c r="C7" s="3"/>
      <c r="D7" s="3"/>
      <c r="E7" s="3"/>
      <c r="F7" s="2" t="s">
        <v>44</v>
      </c>
      <c r="G7" s="2" t="s">
        <v>28</v>
      </c>
      <c r="H7" s="3">
        <f t="shared" si="1"/>
        <v>0</v>
      </c>
      <c r="I7" s="3"/>
      <c r="J7" s="2" t="s">
        <v>45</v>
      </c>
      <c r="K7" s="2" t="s">
        <v>30</v>
      </c>
      <c r="L7" s="2" t="s">
        <v>42</v>
      </c>
      <c r="M7" s="7">
        <v>46101.0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8">
        <v>6.0</v>
      </c>
      <c r="B8" s="2" t="s">
        <v>46</v>
      </c>
      <c r="C8" s="3"/>
      <c r="D8" s="3"/>
      <c r="E8" s="3"/>
      <c r="F8" s="2" t="s">
        <v>47</v>
      </c>
      <c r="G8" s="2" t="s">
        <v>28</v>
      </c>
      <c r="H8" s="3">
        <f t="shared" si="1"/>
        <v>0</v>
      </c>
      <c r="I8" s="3"/>
      <c r="J8" s="2" t="s">
        <v>48</v>
      </c>
      <c r="K8" s="2" t="s">
        <v>30</v>
      </c>
      <c r="L8" s="2" t="s">
        <v>42</v>
      </c>
      <c r="M8" s="7">
        <v>46101.0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8">
        <v>7.0</v>
      </c>
      <c r="B9" s="2" t="s">
        <v>49</v>
      </c>
      <c r="C9" s="3"/>
      <c r="D9" s="3"/>
      <c r="E9" s="3"/>
      <c r="F9" s="2" t="s">
        <v>50</v>
      </c>
      <c r="G9" s="2" t="s">
        <v>28</v>
      </c>
      <c r="H9" s="3">
        <f t="shared" si="1"/>
        <v>0</v>
      </c>
      <c r="I9" s="3"/>
      <c r="J9" s="2" t="s">
        <v>51</v>
      </c>
      <c r="K9" s="2" t="s">
        <v>30</v>
      </c>
      <c r="L9" s="2" t="s">
        <v>42</v>
      </c>
      <c r="M9" s="7">
        <v>46101.0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8">
        <v>8.0</v>
      </c>
      <c r="B10" s="2" t="s">
        <v>52</v>
      </c>
      <c r="C10" s="3"/>
      <c r="D10" s="3"/>
      <c r="E10" s="3"/>
      <c r="F10" s="2" t="s">
        <v>53</v>
      </c>
      <c r="G10" s="2" t="s">
        <v>28</v>
      </c>
      <c r="H10" s="3">
        <f t="shared" si="1"/>
        <v>0</v>
      </c>
      <c r="I10" s="3"/>
      <c r="J10" s="2" t="s">
        <v>54</v>
      </c>
      <c r="K10" s="2" t="s">
        <v>30</v>
      </c>
      <c r="L10" s="2" t="s">
        <v>42</v>
      </c>
      <c r="M10" s="7">
        <v>46101.0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8">
        <v>9.0</v>
      </c>
      <c r="B11" s="2" t="s">
        <v>55</v>
      </c>
      <c r="C11" s="3"/>
      <c r="D11" s="3"/>
      <c r="E11" s="3"/>
      <c r="F11" s="2" t="s">
        <v>56</v>
      </c>
      <c r="G11" s="2" t="s">
        <v>28</v>
      </c>
      <c r="H11" s="3">
        <f t="shared" si="1"/>
        <v>0</v>
      </c>
      <c r="I11" s="3"/>
      <c r="J11" s="2" t="s">
        <v>57</v>
      </c>
      <c r="K11" s="2" t="s">
        <v>30</v>
      </c>
      <c r="L11" s="2" t="s">
        <v>42</v>
      </c>
      <c r="M11" s="7">
        <v>46101.0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8">
        <v>10.0</v>
      </c>
      <c r="B12" s="2" t="s">
        <v>58</v>
      </c>
      <c r="C12" s="3"/>
      <c r="D12" s="3"/>
      <c r="E12" s="3"/>
      <c r="F12" s="2" t="s">
        <v>59</v>
      </c>
      <c r="G12" s="2" t="s">
        <v>28</v>
      </c>
      <c r="H12" s="3">
        <f t="shared" si="1"/>
        <v>0</v>
      </c>
      <c r="I12" s="3"/>
      <c r="J12" s="2" t="s">
        <v>60</v>
      </c>
      <c r="K12" s="2" t="s">
        <v>30</v>
      </c>
      <c r="L12" s="2" t="s">
        <v>42</v>
      </c>
      <c r="M12" s="7">
        <v>46101.0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8">
        <v>11.0</v>
      </c>
      <c r="B13" s="2" t="s">
        <v>61</v>
      </c>
      <c r="C13" s="3"/>
      <c r="D13" s="3"/>
      <c r="E13" s="3"/>
      <c r="F13" s="2" t="s">
        <v>62</v>
      </c>
      <c r="G13" s="2" t="s">
        <v>28</v>
      </c>
      <c r="H13" s="3">
        <f t="shared" si="1"/>
        <v>0</v>
      </c>
      <c r="I13" s="3"/>
      <c r="J13" s="2" t="s">
        <v>63</v>
      </c>
      <c r="K13" s="2" t="s">
        <v>30</v>
      </c>
      <c r="L13" s="2" t="s">
        <v>42</v>
      </c>
      <c r="M13" s="7">
        <v>46101.0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8">
        <v>12.0</v>
      </c>
      <c r="B14" s="2" t="s">
        <v>64</v>
      </c>
      <c r="C14" s="3"/>
      <c r="D14" s="3"/>
      <c r="E14" s="3"/>
      <c r="F14" s="2" t="s">
        <v>65</v>
      </c>
      <c r="G14" s="2" t="s">
        <v>28</v>
      </c>
      <c r="H14" s="3">
        <f t="shared" si="1"/>
        <v>0</v>
      </c>
      <c r="I14" s="3"/>
      <c r="J14" s="2" t="s">
        <v>66</v>
      </c>
      <c r="K14" s="2" t="s">
        <v>30</v>
      </c>
      <c r="L14" s="2" t="s">
        <v>42</v>
      </c>
      <c r="M14" s="7">
        <v>46101.0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8">
        <v>13.0</v>
      </c>
      <c r="B15" s="2" t="s">
        <v>67</v>
      </c>
      <c r="C15" s="3"/>
      <c r="D15" s="3"/>
      <c r="E15" s="3"/>
      <c r="F15" s="2" t="s">
        <v>68</v>
      </c>
      <c r="G15" s="2" t="s">
        <v>28</v>
      </c>
      <c r="H15" s="3">
        <f t="shared" si="1"/>
        <v>0</v>
      </c>
      <c r="I15" s="3"/>
      <c r="J15" s="2" t="s">
        <v>69</v>
      </c>
      <c r="K15" s="2" t="s">
        <v>30</v>
      </c>
      <c r="L15" s="2" t="s">
        <v>42</v>
      </c>
      <c r="M15" s="7">
        <v>46101.0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8">
        <v>14.0</v>
      </c>
      <c r="B16" s="2" t="s">
        <v>70</v>
      </c>
      <c r="C16" s="3"/>
      <c r="D16" s="3"/>
      <c r="E16" s="3"/>
      <c r="F16" s="2" t="s">
        <v>71</v>
      </c>
      <c r="G16" s="2" t="s">
        <v>28</v>
      </c>
      <c r="H16" s="3">
        <f t="shared" si="1"/>
        <v>0</v>
      </c>
      <c r="I16" s="3"/>
      <c r="J16" s="2" t="s">
        <v>72</v>
      </c>
      <c r="K16" s="2" t="s">
        <v>30</v>
      </c>
      <c r="L16" s="2" t="s">
        <v>42</v>
      </c>
      <c r="M16" s="7">
        <v>46101.0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9"/>
      <c r="B17" s="3"/>
      <c r="C17" s="3"/>
      <c r="D17" s="3"/>
      <c r="E17" s="3"/>
      <c r="F17" s="3"/>
      <c r="G17" s="3"/>
      <c r="H17" s="3">
        <f t="shared" si="1"/>
        <v>0</v>
      </c>
      <c r="I17" s="3"/>
      <c r="J17" s="3"/>
      <c r="K17" s="3"/>
      <c r="L17" s="3"/>
      <c r="M17" s="1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9"/>
      <c r="B18" s="3"/>
      <c r="C18" s="3"/>
      <c r="D18" s="3"/>
      <c r="E18" s="3"/>
      <c r="F18" s="3"/>
      <c r="G18" s="3"/>
      <c r="H18" s="3">
        <f t="shared" si="1"/>
        <v>0</v>
      </c>
      <c r="I18" s="3"/>
      <c r="J18" s="3"/>
      <c r="K18" s="3"/>
      <c r="L18" s="3"/>
      <c r="M18" s="1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9"/>
      <c r="B19" s="3"/>
      <c r="C19" s="3"/>
      <c r="D19" s="3"/>
      <c r="E19" s="3"/>
      <c r="F19" s="3"/>
      <c r="G19" s="3"/>
      <c r="H19" s="3">
        <f t="shared" si="1"/>
        <v>0</v>
      </c>
      <c r="I19" s="3"/>
      <c r="J19" s="3"/>
      <c r="K19" s="3"/>
      <c r="L19" s="3"/>
      <c r="M19" s="1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9"/>
      <c r="B20" s="3"/>
      <c r="C20" s="3"/>
      <c r="D20" s="3"/>
      <c r="E20" s="3"/>
      <c r="F20" s="3"/>
      <c r="G20" s="3"/>
      <c r="H20" s="3">
        <f t="shared" si="1"/>
        <v>0</v>
      </c>
      <c r="I20" s="3"/>
      <c r="J20" s="3"/>
      <c r="K20" s="3"/>
      <c r="L20" s="3"/>
      <c r="M20" s="1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9"/>
      <c r="B21" s="3"/>
      <c r="C21" s="3"/>
      <c r="D21" s="3"/>
      <c r="E21" s="3"/>
      <c r="F21" s="3"/>
      <c r="G21" s="3"/>
      <c r="H21" s="3">
        <f t="shared" si="1"/>
        <v>0</v>
      </c>
      <c r="I21" s="3"/>
      <c r="J21" s="3"/>
      <c r="K21" s="3"/>
      <c r="L21" s="3"/>
      <c r="M21" s="1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9"/>
      <c r="B22" s="3"/>
      <c r="C22" s="3"/>
      <c r="D22" s="3"/>
      <c r="E22" s="3"/>
      <c r="F22" s="3"/>
      <c r="G22" s="3"/>
      <c r="H22" s="3">
        <f t="shared" si="1"/>
        <v>0</v>
      </c>
      <c r="I22" s="3"/>
      <c r="J22" s="3"/>
      <c r="K22" s="3"/>
      <c r="L22" s="3"/>
      <c r="M22" s="1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9"/>
      <c r="B23" s="3"/>
      <c r="C23" s="3"/>
      <c r="D23" s="3"/>
      <c r="E23" s="3"/>
      <c r="F23" s="3"/>
      <c r="G23" s="3"/>
      <c r="H23" s="3">
        <f t="shared" si="1"/>
        <v>0</v>
      </c>
      <c r="I23" s="3"/>
      <c r="J23" s="3"/>
      <c r="K23" s="3"/>
      <c r="L23" s="3"/>
      <c r="M23" s="1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9"/>
      <c r="B24" s="3"/>
      <c r="C24" s="3"/>
      <c r="D24" s="3"/>
      <c r="E24" s="3"/>
      <c r="F24" s="3"/>
      <c r="G24" s="3"/>
      <c r="H24" s="3">
        <f t="shared" si="1"/>
        <v>0</v>
      </c>
      <c r="I24" s="3"/>
      <c r="J24" s="3"/>
      <c r="K24" s="3"/>
      <c r="L24" s="3"/>
      <c r="M24" s="10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9"/>
      <c r="B25" s="3"/>
      <c r="C25" s="3"/>
      <c r="D25" s="3"/>
      <c r="E25" s="3"/>
      <c r="F25" s="3"/>
      <c r="G25" s="3"/>
      <c r="H25" s="3">
        <f t="shared" si="1"/>
        <v>0</v>
      </c>
      <c r="I25" s="3"/>
      <c r="J25" s="3"/>
      <c r="K25" s="3"/>
      <c r="L25" s="3"/>
      <c r="M25" s="10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9"/>
      <c r="B26" s="3"/>
      <c r="C26" s="3"/>
      <c r="D26" s="3"/>
      <c r="E26" s="3"/>
      <c r="F26" s="3"/>
      <c r="G26" s="3"/>
      <c r="H26" s="3">
        <f t="shared" si="1"/>
        <v>0</v>
      </c>
      <c r="I26" s="3"/>
      <c r="J26" s="3"/>
      <c r="K26" s="3"/>
      <c r="L26" s="3"/>
      <c r="M26" s="1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9"/>
      <c r="B27" s="3"/>
      <c r="C27" s="3"/>
      <c r="D27" s="3"/>
      <c r="E27" s="3"/>
      <c r="F27" s="3"/>
      <c r="G27" s="3"/>
      <c r="H27" s="3">
        <f t="shared" si="1"/>
        <v>0</v>
      </c>
      <c r="I27" s="3"/>
      <c r="J27" s="3"/>
      <c r="K27" s="3"/>
      <c r="L27" s="3"/>
      <c r="M27" s="10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9"/>
      <c r="B28" s="3"/>
      <c r="C28" s="3"/>
      <c r="D28" s="3"/>
      <c r="E28" s="3"/>
      <c r="F28" s="3"/>
      <c r="G28" s="3"/>
      <c r="H28" s="3">
        <f t="shared" si="1"/>
        <v>0</v>
      </c>
      <c r="I28" s="3"/>
      <c r="J28" s="3"/>
      <c r="K28" s="3"/>
      <c r="L28" s="3"/>
      <c r="M28" s="1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9"/>
      <c r="B29" s="3"/>
      <c r="C29" s="3"/>
      <c r="D29" s="3"/>
      <c r="E29" s="3"/>
      <c r="F29" s="3"/>
      <c r="G29" s="3"/>
      <c r="H29" s="3">
        <f t="shared" si="1"/>
        <v>0</v>
      </c>
      <c r="I29" s="3"/>
      <c r="J29" s="3"/>
      <c r="K29" s="3"/>
      <c r="L29" s="3"/>
      <c r="M29" s="1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9"/>
      <c r="B30" s="3"/>
      <c r="C30" s="3"/>
      <c r="D30" s="3"/>
      <c r="E30" s="3"/>
      <c r="F30" s="3"/>
      <c r="G30" s="3"/>
      <c r="H30" s="3">
        <f t="shared" si="1"/>
        <v>0</v>
      </c>
      <c r="I30" s="3"/>
      <c r="J30" s="3"/>
      <c r="K30" s="3"/>
      <c r="L30" s="3"/>
      <c r="M30" s="1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11"/>
      <c r="B31" s="12"/>
      <c r="C31" s="12"/>
      <c r="D31" s="12"/>
      <c r="E31" s="12"/>
      <c r="F31" s="12"/>
      <c r="G31" s="12"/>
      <c r="H31" s="12">
        <f t="shared" si="1"/>
        <v>0</v>
      </c>
      <c r="I31" s="12"/>
      <c r="J31" s="12"/>
      <c r="K31" s="12"/>
      <c r="L31" s="12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14"/>
      <c r="B32" s="3"/>
      <c r="C32" s="2" t="s">
        <v>73</v>
      </c>
      <c r="D32" s="2" t="s">
        <v>74</v>
      </c>
      <c r="E32" s="2" t="s">
        <v>75</v>
      </c>
      <c r="F32" s="3"/>
      <c r="G32" s="3"/>
      <c r="H32" s="2" t="s">
        <v>76</v>
      </c>
      <c r="I32" s="2" t="s">
        <v>77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14"/>
      <c r="B33" s="3"/>
      <c r="C33" s="15"/>
      <c r="D33" s="15"/>
      <c r="E33" s="15"/>
      <c r="F33" s="3"/>
      <c r="G33" s="3"/>
      <c r="H33" s="15"/>
      <c r="I33" s="1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1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1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1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1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1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1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1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1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1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1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1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1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1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1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1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1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1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1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1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1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1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1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1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1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1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1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1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1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1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1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1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1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1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1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1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1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1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1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1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1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1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1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1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1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1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1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1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1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1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1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1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1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1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1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1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1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1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1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1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1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1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1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1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1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1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1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1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1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1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1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1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1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1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1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1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1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1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1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1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1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1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1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1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1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1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1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1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1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1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1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1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1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1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1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1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1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1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1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1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1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1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1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1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1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1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1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1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1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1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1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1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1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1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1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1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1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1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1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1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1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1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1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1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1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1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1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1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1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1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1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1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1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1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1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1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1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1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1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1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1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1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1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1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1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1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1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1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1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1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1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1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1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1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1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1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1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1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1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1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1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1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1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1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1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1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1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1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1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1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1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1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1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1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1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1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1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1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1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1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1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1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1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1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1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1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1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1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1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1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1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1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1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1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1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1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1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1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1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1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1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1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1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1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1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1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1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1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1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1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1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1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1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1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1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1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1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1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1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1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1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1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1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1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1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1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1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1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1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1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1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1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1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1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1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1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1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1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1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1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1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1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1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1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1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1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1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1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1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1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1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1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1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1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1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1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1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1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1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1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1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1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1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1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1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1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1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1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1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1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1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1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1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1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1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1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1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1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1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1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1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1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1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1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1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1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1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1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1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1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1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1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1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1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1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1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1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1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1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1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1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1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1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1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1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1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1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1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1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1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1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1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1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1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1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1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1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1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1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1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1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1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1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1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1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1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1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1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1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1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1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1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1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1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1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1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1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1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1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1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1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1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1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1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1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1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1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1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1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1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1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1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1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1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1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1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1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1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1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1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1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1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1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1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1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1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1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1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1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1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1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1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1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1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1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1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1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1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1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1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1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1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1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1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1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1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1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1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1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1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1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1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1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1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1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1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1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1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1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1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1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1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1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1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1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1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1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1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1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1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1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1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1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1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1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1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1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1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1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1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1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1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1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1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1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1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1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1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1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1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1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1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1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1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1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1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1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1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1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1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1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1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1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1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1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1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1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1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1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1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1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1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1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1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1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1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1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1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1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1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1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1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1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1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1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1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1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1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1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1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1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1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1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1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1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1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1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1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1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1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1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1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1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1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1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1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1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1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1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1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1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1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1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1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1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1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1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1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1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1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1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1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1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1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1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1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1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1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1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1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1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1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1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1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1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1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1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1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1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1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1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1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1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1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1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1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1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1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1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1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1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1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1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1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1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1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1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1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1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1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1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1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1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1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1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1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1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1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1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1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1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1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1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1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1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1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1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1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1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1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1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1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1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1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1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1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1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1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1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1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1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1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1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1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1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1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1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1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1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1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1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1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1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1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1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1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1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1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1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1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1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1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1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1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1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1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1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1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1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1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1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1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1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1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1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1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1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1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1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1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1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1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1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1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1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1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1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1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1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1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1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1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1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1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1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1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1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1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1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1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1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1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1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1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1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1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1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1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1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1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1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1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1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1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1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1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1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1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1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1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1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1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1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1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1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1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1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1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1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1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1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1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1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1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1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1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1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1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1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1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1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1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1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1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1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1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1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1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1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1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1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1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1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1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1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1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1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1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1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1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1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1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1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1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1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1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1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1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1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1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1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1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1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1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1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1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1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1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1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1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1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1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1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1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1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1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1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1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1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1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1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1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1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1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1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1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1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1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1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1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1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1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1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1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1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1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1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1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1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1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1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1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1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1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1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1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1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1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1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1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1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1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1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1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1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1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1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1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1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1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1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1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1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1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1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1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1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1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1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1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1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1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1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1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1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1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1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1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1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1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1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1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1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1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1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1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1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1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1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1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1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1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1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1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1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1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1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1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1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1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1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1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1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1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1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1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1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1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1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1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1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1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1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1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1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1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1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1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1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1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1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1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1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1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1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1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1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1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1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1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1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1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1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1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1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1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1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1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1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1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1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1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1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1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1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1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1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1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1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1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1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1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1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1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1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1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1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1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1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1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1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1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1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1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1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1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1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1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1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1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1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1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1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1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1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1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1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1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1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1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1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1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1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1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1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1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1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1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1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1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1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1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1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1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1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1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1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1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1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1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1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1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1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1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1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1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1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1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1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1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1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1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1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1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1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1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1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1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1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1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1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1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1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1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1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1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1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1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1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1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1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1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1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1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1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1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1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1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1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1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1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1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1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1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1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1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1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1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1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1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1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1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1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1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1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1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1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1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1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1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1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1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1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1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1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1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1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1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14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</sheetData>
  <drawing r:id="rId1"/>
</worksheet>
</file>